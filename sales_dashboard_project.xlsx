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3dae09deb7d60/Documents/"/>
    </mc:Choice>
  </mc:AlternateContent>
  <xr:revisionPtr revIDLastSave="0" documentId="8_{22B25FDD-DB7D-4AE6-8939-31C0F21B24A2}" xr6:coauthVersionLast="47" xr6:coauthVersionMax="47" xr10:uidLastSave="{00000000-0000-0000-0000-000000000000}"/>
  <bookViews>
    <workbookView xWindow="-108" yWindow="-108" windowWidth="23256" windowHeight="12456" xr2:uid="{A814F6D1-CC5F-4409-B2D1-DED8539DFA73}"/>
  </bookViews>
  <sheets>
    <sheet name="Dashboard" sheetId="3" r:id="rId1"/>
    <sheet name="Pivot_Analysis" sheetId="2" r:id="rId2"/>
    <sheet name="Sales_Data" sheetId="1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1" l="1"/>
  <c r="K3" i="1"/>
  <c r="K2" i="1"/>
  <c r="H3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<sst xmlns="http://schemas.openxmlformats.org/spreadsheetml/2006/main" count="62" uniqueCount="30">
  <si>
    <t>Date</t>
  </si>
  <si>
    <t>Product</t>
  </si>
  <si>
    <t>Category</t>
  </si>
  <si>
    <t>Region</t>
  </si>
  <si>
    <t>Salesperson</t>
  </si>
  <si>
    <t>Quantity</t>
  </si>
  <si>
    <t>Unit Price</t>
  </si>
  <si>
    <t>Laptop</t>
  </si>
  <si>
    <t>Electronics</t>
  </si>
  <si>
    <t>Dhaka</t>
  </si>
  <si>
    <t>Rahim</t>
  </si>
  <si>
    <t>Phone</t>
  </si>
  <si>
    <t>Chittagong</t>
  </si>
  <si>
    <t>Karim</t>
  </si>
  <si>
    <t>Shoes</t>
  </si>
  <si>
    <t>Fashion</t>
  </si>
  <si>
    <t>Sumon</t>
  </si>
  <si>
    <t>TV</t>
  </si>
  <si>
    <t>Sylhet</t>
  </si>
  <si>
    <t>Nayeem</t>
  </si>
  <si>
    <t>T-shirt</t>
  </si>
  <si>
    <t>Khulna</t>
  </si>
  <si>
    <t>Hasan</t>
  </si>
  <si>
    <t>Total Sales</t>
  </si>
  <si>
    <t>Total Quantity</t>
  </si>
  <si>
    <t>Average Sales</t>
  </si>
  <si>
    <t>Row Labels</t>
  </si>
  <si>
    <t>Grand Total</t>
  </si>
  <si>
    <t>Sum of Total Sales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</si>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</sst>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[sales_dashboard_project.xlsx]Pivot_Analysis!PivotTable1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Pivot_Analysis!$A$4:$A$6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Pivot_Analysis!$B$4:$B$6</c:f>
              <c:numCache>
                <c:formatCode>General</c:formatCode>
                <c:ptCount val="2"/>
                <c:pt idx="0">
                  <c:v>325000</c:v>
                </c:pt>
                <c:pt idx="1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E-4435-AB0B-1954AE9E7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023328"/>
        <c:axId val="287023744"/>
      </c:barChart>
      <c:catAx>
        <c:axId val="28702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23744"/>
        <c:crosses val="autoZero"/>
        <c:auto val="1"/>
        <c:lblAlgn val="ctr"/>
        <c:lblOffset val="100"/>
        <c:noMultiLvlLbl val="0"/>
      </c:catAx>
      <c:valAx>
        <c:axId val="2870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Pivot_Analysis!$Q$6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7-498E-BE33-F0BB00DCCC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7-498E-BE33-F0BB00DCCC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7-498E-BE33-F0BB00DCCC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17-498E-BE33-F0BB00DCCC8C}"/>
              </c:ext>
            </c:extLst>
          </c:dPt>
          <c:cat>
            <c:strRef>
              <c:f>Pivot_Analysis!$P$7:$P$11</c:f>
              <c:strCache>
                <c:ptCount val="4"/>
                <c:pt idx="0">
                  <c:v>Chittagong</c:v>
                </c:pt>
                <c:pt idx="1">
                  <c:v>Dhaka</c:v>
                </c:pt>
                <c:pt idx="2">
                  <c:v>Khulna</c:v>
                </c:pt>
                <c:pt idx="3">
                  <c:v>Sylhet</c:v>
                </c:pt>
              </c:strCache>
            </c:strRef>
          </c:cat>
          <c:val>
            <c:numRef>
              <c:f>Pivot_Analysis!$Q$7:$Q$11</c:f>
              <c:numCache>
                <c:formatCode>General</c:formatCode>
                <c:ptCount val="4"/>
                <c:pt idx="0">
                  <c:v>81000</c:v>
                </c:pt>
                <c:pt idx="1">
                  <c:v>235000</c:v>
                </c:pt>
                <c:pt idx="2">
                  <c:v>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17-498E-BE33-F0BB00DCC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[sales_dashboard_project.xlsx]Pivot_Analysis!PivotTable3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35870516185476"/>
          <c:y val="0.37800488480606592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Pivot_Analysis!$Z$21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Pivot_Analysis!$Y$22:$Y$30</c:f>
              <c:strCache>
                <c:ptCount val="8"/>
                <c:pt idx="0">
                  <c:v>1-Jan</c:v>
                </c:pt>
                <c:pt idx="1">
                  <c:v>2-Jan</c:v>
                </c:pt>
                <c:pt idx="2">
                  <c:v>3-Jan</c:v>
                </c:pt>
                <c:pt idx="3">
                  <c:v>4-Jan</c:v>
                </c:pt>
                <c:pt idx="4">
                  <c:v>5-Jan</c:v>
                </c:pt>
                <c:pt idx="5">
                  <c:v>6-Jan</c:v>
                </c:pt>
                <c:pt idx="6">
                  <c:v>7-Jan</c:v>
                </c:pt>
                <c:pt idx="7">
                  <c:v>8-Jan</c:v>
                </c:pt>
              </c:strCache>
            </c:strRef>
          </c:cat>
          <c:val>
            <c:numRef>
              <c:f>Pivot_Analysis!$Z$22:$Z$30</c:f>
              <c:numCache>
                <c:formatCode>General</c:formatCode>
                <c:ptCount val="8"/>
                <c:pt idx="0">
                  <c:v>120000</c:v>
                </c:pt>
                <c:pt idx="1">
                  <c:v>60000</c:v>
                </c:pt>
                <c:pt idx="2">
                  <c:v>15000</c:v>
                </c:pt>
                <c:pt idx="3">
                  <c:v>45000</c:v>
                </c:pt>
                <c:pt idx="4">
                  <c:v>5000</c:v>
                </c:pt>
                <c:pt idx="5">
                  <c:v>60000</c:v>
                </c:pt>
                <c:pt idx="6">
                  <c:v>21000</c:v>
                </c:pt>
                <c:pt idx="7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A-4EE9-9855-42E71FB1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713808"/>
        <c:axId val="293715056"/>
      </c:lineChart>
      <c:catAx>
        <c:axId val="29371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15056"/>
        <c:crosses val="autoZero"/>
        <c:auto val="1"/>
        <c:lblAlgn val="ctr"/>
        <c:lblOffset val="100"/>
        <c:noMultiLvlLbl val="0"/>
      </c:catAx>
      <c:valAx>
        <c:axId val="2937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1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[sales_dashboard_project.xlsx]Pivot_Analysis!PivotTable1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Pivot_Analysis!$A$4:$A$6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Pivot_Analysis!$B$4:$B$6</c:f>
              <c:numCache>
                <c:formatCode>General</c:formatCode>
                <c:ptCount val="2"/>
                <c:pt idx="0">
                  <c:v>325000</c:v>
                </c:pt>
                <c:pt idx="1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6-4787-A1AF-30DBABB1C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023328"/>
        <c:axId val="287023744"/>
      </c:barChart>
      <c:catAx>
        <c:axId val="28702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23744"/>
        <c:crosses val="autoZero"/>
        <c:auto val="1"/>
        <c:lblAlgn val="ctr"/>
        <c:lblOffset val="100"/>
        <c:noMultiLvlLbl val="0"/>
      </c:catAx>
      <c:valAx>
        <c:axId val="2870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Pivot_Analysis!$Q$6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Pivot_Analysis!$P$7:$P$11</c:f>
              <c:strCache>
                <c:ptCount val="4"/>
                <c:pt idx="0">
                  <c:v>Chittagong</c:v>
                </c:pt>
                <c:pt idx="1">
                  <c:v>Dhaka</c:v>
                </c:pt>
                <c:pt idx="2">
                  <c:v>Khulna</c:v>
                </c:pt>
                <c:pt idx="3">
                  <c:v>Sylhet</c:v>
                </c:pt>
              </c:strCache>
            </c:strRef>
          </c:cat>
          <c:val>
            <c:numRef>
              <c:f>Pivot_Analysis!$Q$7:$Q$11</c:f>
              <c:numCache>
                <c:formatCode>General</c:formatCode>
                <c:ptCount val="4"/>
                <c:pt idx="0">
                  <c:v>81000</c:v>
                </c:pt>
                <c:pt idx="1">
                  <c:v>235000</c:v>
                </c:pt>
                <c:pt idx="2">
                  <c:v>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D-4634-98C7-46AD82E7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[sales_dashboard_project.xlsx]Pivot_Analysis!PivotTable3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35870516185476"/>
          <c:y val="0.37800488480606592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Pivot_Analysis!$Z$21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Pivot_Analysis!$Y$22:$Y$30</c:f>
              <c:strCache>
                <c:ptCount val="8"/>
                <c:pt idx="0">
                  <c:v>1-Jan</c:v>
                </c:pt>
                <c:pt idx="1">
                  <c:v>2-Jan</c:v>
                </c:pt>
                <c:pt idx="2">
                  <c:v>3-Jan</c:v>
                </c:pt>
                <c:pt idx="3">
                  <c:v>4-Jan</c:v>
                </c:pt>
                <c:pt idx="4">
                  <c:v>5-Jan</c:v>
                </c:pt>
                <c:pt idx="5">
                  <c:v>6-Jan</c:v>
                </c:pt>
                <c:pt idx="6">
                  <c:v>7-Jan</c:v>
                </c:pt>
                <c:pt idx="7">
                  <c:v>8-Jan</c:v>
                </c:pt>
              </c:strCache>
            </c:strRef>
          </c:cat>
          <c:val>
            <c:numRef>
              <c:f>Pivot_Analysis!$Z$22:$Z$30</c:f>
              <c:numCache>
                <c:formatCode>General</c:formatCode>
                <c:ptCount val="8"/>
                <c:pt idx="0">
                  <c:v>120000</c:v>
                </c:pt>
                <c:pt idx="1">
                  <c:v>60000</c:v>
                </c:pt>
                <c:pt idx="2">
                  <c:v>15000</c:v>
                </c:pt>
                <c:pt idx="3">
                  <c:v>45000</c:v>
                </c:pt>
                <c:pt idx="4">
                  <c:v>5000</c:v>
                </c:pt>
                <c:pt idx="5">
                  <c:v>60000</c:v>
                </c:pt>
                <c:pt idx="6">
                  <c:v>21000</c:v>
                </c:pt>
                <c:pt idx="7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2-4C16-9403-A82EE5A82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713808"/>
        <c:axId val="293715056"/>
      </c:lineChart>
      <c:catAx>
        <c:axId val="29371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15056"/>
        <c:crosses val="autoZero"/>
        <c:auto val="1"/>
        <c:lblAlgn val="ctr"/>
        <c:lblOffset val="100"/>
        <c:noMultiLvlLbl val="0"/>
      </c:catAx>
      <c:valAx>
        <c:axId val="2937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1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114300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28262-EA6B-49EE-A4E5-E8F3A8D41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</xdr:row>
      <xdr:rowOff>0</xdr:rowOff>
    </xdr:from>
    <xdr:to>
      <xdr:col>12</xdr:col>
      <xdr:colOff>556260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0A9713-F8EE-4A1D-B065-DD1415933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175260</xdr:rowOff>
    </xdr:from>
    <xdr:to>
      <xdr:col>4</xdr:col>
      <xdr:colOff>114300</xdr:colOff>
      <xdr:row>36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737B0-3487-4287-A2C0-429D8C2D7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6</xdr:row>
      <xdr:rowOff>41910</xdr:rowOff>
    </xdr:from>
    <xdr:to>
      <xdr:col>14</xdr:col>
      <xdr:colOff>68580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A329D-C138-4D69-9B0B-7076D46FA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3</xdr:row>
      <xdr:rowOff>41910</xdr:rowOff>
    </xdr:from>
    <xdr:to>
      <xdr:col>25</xdr:col>
      <xdr:colOff>38100</xdr:colOff>
      <xdr:row>18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E6DC45-E3F9-4E7A-A0A3-E211615EB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525780</xdr:colOff>
      <xdr:row>19</xdr:row>
      <xdr:rowOff>34290</xdr:rowOff>
    </xdr:from>
    <xdr:to>
      <xdr:col>34</xdr:col>
      <xdr:colOff>220980</xdr:colOff>
      <xdr:row>34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0FED1A-CDBF-4B52-9976-57226EC62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8.899346527774" createdVersion="7" refreshedVersion="7" minRefreshableVersion="3" recordCount="8" xr:uid="{F873C36C-F02A-42C8-A32A-488FD72FCBA1}">
  <cacheSource type="worksheet">
    <worksheetSource ref="A1:H9" sheet="Sales_Data"/>
  </cacheSource>
  <cacheFields count="8">
    <cacheField name="Date" numFmtId="16">
      <sharedItems containsSemiMixedTypes="0" containsNonDate="0" containsDate="1" containsString="0" minDate="2026-01-01T00:00:00" maxDate="2026-01-09T00:00:00" count="8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</sharedItems>
    </cacheField>
    <cacheField name="Product" numFmtId="0">
      <sharedItems/>
    </cacheField>
    <cacheField name="Category" numFmtId="0">
      <sharedItems count="2">
        <s v="Electronics"/>
        <s v="Fashion"/>
      </sharedItems>
    </cacheField>
    <cacheField name="Region" numFmtId="0">
      <sharedItems count="4">
        <s v="Dhaka"/>
        <s v="Chittagong"/>
        <s v="Sylhet"/>
        <s v="Khulna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500" maxValue="60000"/>
    </cacheField>
    <cacheField name="Total Sales" numFmtId="0">
      <sharedItems containsSemiMixedTypes="0" containsString="0" containsNumber="1" containsInteger="1" minValue="5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Laptop"/>
    <x v="0"/>
    <x v="0"/>
    <s v="Rahim"/>
    <n v="2"/>
    <n v="60000"/>
    <n v="120000"/>
  </r>
  <r>
    <x v="1"/>
    <s v="Phone"/>
    <x v="0"/>
    <x v="1"/>
    <s v="Karim"/>
    <n v="3"/>
    <n v="20000"/>
    <n v="60000"/>
  </r>
  <r>
    <x v="2"/>
    <s v="Shoes"/>
    <x v="1"/>
    <x v="0"/>
    <s v="Sumon"/>
    <n v="5"/>
    <n v="3000"/>
    <n v="15000"/>
  </r>
  <r>
    <x v="3"/>
    <s v="TV"/>
    <x v="0"/>
    <x v="2"/>
    <s v="Nayeem"/>
    <n v="1"/>
    <n v="45000"/>
    <n v="45000"/>
  </r>
  <r>
    <x v="4"/>
    <s v="T-shirt"/>
    <x v="1"/>
    <x v="3"/>
    <s v="Hasan"/>
    <n v="10"/>
    <n v="500"/>
    <n v="5000"/>
  </r>
  <r>
    <x v="5"/>
    <s v="Laptop"/>
    <x v="0"/>
    <x v="0"/>
    <s v="Rahim"/>
    <n v="1"/>
    <n v="60000"/>
    <n v="60000"/>
  </r>
  <r>
    <x v="6"/>
    <s v="Shoes"/>
    <x v="1"/>
    <x v="1"/>
    <s v="Karim"/>
    <n v="7"/>
    <n v="3000"/>
    <n v="21000"/>
  </r>
  <r>
    <x v="7"/>
    <s v="Phone"/>
    <x v="0"/>
    <x v="0"/>
    <s v="Sumon"/>
    <n v="2"/>
    <n v="2000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1FD4B-AA9A-4558-B7C0-77DF41493E36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Y21:Z30" firstHeaderRow="1" firstDataRow="1" firstDataCol="1"/>
  <pivotFields count="8">
    <pivotField axis="axisRow" numFmtId="16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FD9A1-414E-42D7-8840-F0E74FE0D6C4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P6:Q11" firstHeaderRow="1" firstDataRow="1" firstDataCol="1"/>
  <pivotFields count="8">
    <pivotField numFmtId="16"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8A6F2-4D4D-400F-B2E0-12C689E8CA83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:B6" firstHeaderRow="1" firstDataRow="1" firstDataCol="1"/>
  <pivotFields count="8">
    <pivotField numFmtId="16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CAF8-026C-4A1D-A8CB-EB9D4F6A0557}">
  <dimension ref="A1:B5"/>
  <sheetViews>
    <sheetView showGridLines="0" tabSelected="1" workbookViewId="0">
      <selection activeCell="H23" sqref="H23"/>
    </sheetView>
  </sheetViews>
  <sheetFormatPr defaultRowHeight="14.4" x14ac:dyDescent="0.3"/>
  <cols>
    <col min="1" max="1" width="38.33203125" customWidth="1"/>
  </cols>
  <sheetData>
    <row r="1" spans="1:2" ht="28.8" x14ac:dyDescent="0.3">
      <c r="A1" s="9" t="s">
        <v>29</v>
      </c>
    </row>
    <row r="3" spans="1:2" x14ac:dyDescent="0.3">
      <c r="A3" t="s">
        <v>23</v>
      </c>
      <c r="B3">
        <v>366000</v>
      </c>
    </row>
    <row r="4" spans="1:2" x14ac:dyDescent="0.3">
      <c r="A4" t="s">
        <v>24</v>
      </c>
      <c r="B4">
        <v>31</v>
      </c>
    </row>
    <row r="5" spans="1:2" x14ac:dyDescent="0.3">
      <c r="A5" t="s">
        <v>25</v>
      </c>
      <c r="B5">
        <v>45750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70EC-62C4-47DC-85D3-B14057438027}">
  <dimension ref="A3:Z30"/>
  <sheetViews>
    <sheetView topLeftCell="Q13" workbookViewId="0">
      <selection activeCell="Y21" sqref="Y21"/>
    </sheetView>
  </sheetViews>
  <sheetFormatPr defaultRowHeight="14.4" x14ac:dyDescent="0.3"/>
  <cols>
    <col min="1" max="1" width="12.5546875" bestFit="1" customWidth="1"/>
    <col min="2" max="2" width="16.44140625" bestFit="1" customWidth="1"/>
    <col min="16" max="16" width="12.5546875" bestFit="1" customWidth="1"/>
    <col min="17" max="17" width="16.44140625" bestFit="1" customWidth="1"/>
    <col min="25" max="25" width="12.5546875" bestFit="1" customWidth="1"/>
    <col min="26" max="26" width="16.44140625" bestFit="1" customWidth="1"/>
  </cols>
  <sheetData>
    <row r="3" spans="1:17" x14ac:dyDescent="0.3">
      <c r="A3" s="5" t="s">
        <v>26</v>
      </c>
      <c r="B3" t="s">
        <v>28</v>
      </c>
    </row>
    <row r="4" spans="1:17" x14ac:dyDescent="0.3">
      <c r="A4" s="6" t="s">
        <v>8</v>
      </c>
      <c r="B4" s="7">
        <v>325000</v>
      </c>
    </row>
    <row r="5" spans="1:17" x14ac:dyDescent="0.3">
      <c r="A5" s="6" t="s">
        <v>15</v>
      </c>
      <c r="B5" s="7">
        <v>41000</v>
      </c>
    </row>
    <row r="6" spans="1:17" x14ac:dyDescent="0.3">
      <c r="A6" s="6" t="s">
        <v>27</v>
      </c>
      <c r="B6" s="7">
        <v>366000</v>
      </c>
      <c r="P6" s="5" t="s">
        <v>26</v>
      </c>
      <c r="Q6" t="s">
        <v>28</v>
      </c>
    </row>
    <row r="7" spans="1:17" x14ac:dyDescent="0.3">
      <c r="P7" s="6" t="s">
        <v>12</v>
      </c>
      <c r="Q7" s="7">
        <v>81000</v>
      </c>
    </row>
    <row r="8" spans="1:17" x14ac:dyDescent="0.3">
      <c r="P8" s="6" t="s">
        <v>9</v>
      </c>
      <c r="Q8" s="7">
        <v>235000</v>
      </c>
    </row>
    <row r="9" spans="1:17" x14ac:dyDescent="0.3">
      <c r="P9" s="6" t="s">
        <v>21</v>
      </c>
      <c r="Q9" s="7">
        <v>5000</v>
      </c>
    </row>
    <row r="10" spans="1:17" x14ac:dyDescent="0.3">
      <c r="P10" s="6" t="s">
        <v>18</v>
      </c>
      <c r="Q10" s="7">
        <v>45000</v>
      </c>
    </row>
    <row r="11" spans="1:17" x14ac:dyDescent="0.3">
      <c r="P11" s="6" t="s">
        <v>27</v>
      </c>
      <c r="Q11" s="7">
        <v>366000</v>
      </c>
    </row>
    <row r="21" spans="25:26" x14ac:dyDescent="0.3">
      <c r="Y21" s="5" t="s">
        <v>26</v>
      </c>
      <c r="Z21" t="s">
        <v>28</v>
      </c>
    </row>
    <row r="22" spans="25:26" x14ac:dyDescent="0.3">
      <c r="Y22" s="8">
        <v>46023</v>
      </c>
      <c r="Z22" s="7">
        <v>120000</v>
      </c>
    </row>
    <row r="23" spans="25:26" x14ac:dyDescent="0.3">
      <c r="Y23" s="8">
        <v>46024</v>
      </c>
      <c r="Z23" s="7">
        <v>60000</v>
      </c>
    </row>
    <row r="24" spans="25:26" x14ac:dyDescent="0.3">
      <c r="Y24" s="8">
        <v>46025</v>
      </c>
      <c r="Z24" s="7">
        <v>15000</v>
      </c>
    </row>
    <row r="25" spans="25:26" x14ac:dyDescent="0.3">
      <c r="Y25" s="8">
        <v>46026</v>
      </c>
      <c r="Z25" s="7">
        <v>45000</v>
      </c>
    </row>
    <row r="26" spans="25:26" x14ac:dyDescent="0.3">
      <c r="Y26" s="8">
        <v>46027</v>
      </c>
      <c r="Z26" s="7">
        <v>5000</v>
      </c>
    </row>
    <row r="27" spans="25:26" x14ac:dyDescent="0.3">
      <c r="Y27" s="8">
        <v>46028</v>
      </c>
      <c r="Z27" s="7">
        <v>60000</v>
      </c>
    </row>
    <row r="28" spans="25:26" x14ac:dyDescent="0.3">
      <c r="Y28" s="8">
        <v>46029</v>
      </c>
      <c r="Z28" s="7">
        <v>21000</v>
      </c>
    </row>
    <row r="29" spans="25:26" x14ac:dyDescent="0.3">
      <c r="Y29" s="8">
        <v>46030</v>
      </c>
      <c r="Z29" s="7">
        <v>40000</v>
      </c>
    </row>
    <row r="30" spans="25:26" x14ac:dyDescent="0.3">
      <c r="Y30" s="8" t="s">
        <v>27</v>
      </c>
      <c r="Z30" s="7">
        <v>366000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EA6C-9312-4690-8ABA-B23E553EBA64}">
  <dimension ref="A1:K9"/>
  <sheetViews>
    <sheetView workbookViewId="0">
      <selection activeCell="K4" sqref="K1:K4"/>
    </sheetView>
  </sheetViews>
  <sheetFormatPr defaultRowHeight="14.4" x14ac:dyDescent="0.3"/>
  <cols>
    <col min="1" max="1" width="12.88671875" customWidth="1"/>
    <col min="2" max="2" width="17.21875" customWidth="1"/>
    <col min="3" max="3" width="20.5546875" customWidth="1"/>
    <col min="4" max="4" width="18.33203125" customWidth="1"/>
    <col min="5" max="5" width="20.5546875" customWidth="1"/>
    <col min="6" max="6" width="30.88671875" customWidth="1"/>
    <col min="7" max="7" width="19.88671875" customWidth="1"/>
    <col min="8" max="8" width="18.44140625" style="4" customWidth="1"/>
    <col min="10" max="10" width="13.6640625" customWidth="1"/>
    <col min="11" max="11" width="11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J1" t="s">
        <v>23</v>
      </c>
      <c r="K1">
        <f>SUM(H:H)</f>
        <v>366000</v>
      </c>
    </row>
    <row r="2" spans="1:11" x14ac:dyDescent="0.3">
      <c r="A2" s="3">
        <v>46023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</v>
      </c>
      <c r="G2" s="1">
        <v>60000</v>
      </c>
      <c r="H2" s="4">
        <f>F2*G2</f>
        <v>120000</v>
      </c>
      <c r="J2" t="s">
        <v>24</v>
      </c>
      <c r="K2">
        <f>SUM(F:F)</f>
        <v>31</v>
      </c>
    </row>
    <row r="3" spans="1:11" x14ac:dyDescent="0.3">
      <c r="A3" s="3">
        <v>46024</v>
      </c>
      <c r="B3" s="1" t="s">
        <v>11</v>
      </c>
      <c r="C3" s="1" t="s">
        <v>8</v>
      </c>
      <c r="D3" s="1" t="s">
        <v>12</v>
      </c>
      <c r="E3" s="1" t="s">
        <v>13</v>
      </c>
      <c r="F3" s="1">
        <v>3</v>
      </c>
      <c r="G3" s="1">
        <v>20000</v>
      </c>
      <c r="H3" s="4">
        <f t="shared" ref="H3:H9" si="0">F3*G3</f>
        <v>60000</v>
      </c>
      <c r="J3" t="s">
        <v>25</v>
      </c>
      <c r="K3">
        <f>AVERAGE(H:H)</f>
        <v>45750</v>
      </c>
    </row>
    <row r="4" spans="1:11" x14ac:dyDescent="0.3">
      <c r="A4" s="3">
        <v>46025</v>
      </c>
      <c r="B4" s="1" t="s">
        <v>14</v>
      </c>
      <c r="C4" s="1" t="s">
        <v>15</v>
      </c>
      <c r="D4" s="1" t="s">
        <v>9</v>
      </c>
      <c r="E4" s="1" t="s">
        <v>16</v>
      </c>
      <c r="F4" s="1">
        <v>5</v>
      </c>
      <c r="G4" s="1">
        <v>3000</v>
      </c>
      <c r="H4" s="4">
        <f t="shared" si="0"/>
        <v>15000</v>
      </c>
    </row>
    <row r="5" spans="1:11" x14ac:dyDescent="0.3">
      <c r="A5" s="3">
        <v>46026</v>
      </c>
      <c r="B5" s="1" t="s">
        <v>17</v>
      </c>
      <c r="C5" s="1" t="s">
        <v>8</v>
      </c>
      <c r="D5" s="1" t="s">
        <v>18</v>
      </c>
      <c r="E5" s="1" t="s">
        <v>19</v>
      </c>
      <c r="F5" s="1">
        <v>1</v>
      </c>
      <c r="G5" s="1">
        <v>45000</v>
      </c>
      <c r="H5" s="4">
        <f t="shared" si="0"/>
        <v>45000</v>
      </c>
    </row>
    <row r="6" spans="1:11" x14ac:dyDescent="0.3">
      <c r="A6" s="3">
        <v>46027</v>
      </c>
      <c r="B6" s="1" t="s">
        <v>20</v>
      </c>
      <c r="C6" s="1" t="s">
        <v>15</v>
      </c>
      <c r="D6" s="1" t="s">
        <v>21</v>
      </c>
      <c r="E6" s="1" t="s">
        <v>22</v>
      </c>
      <c r="F6" s="1">
        <v>10</v>
      </c>
      <c r="G6" s="1">
        <v>500</v>
      </c>
      <c r="H6" s="4">
        <f t="shared" si="0"/>
        <v>5000</v>
      </c>
    </row>
    <row r="7" spans="1:11" x14ac:dyDescent="0.3">
      <c r="A7" s="3">
        <v>46028</v>
      </c>
      <c r="B7" s="1" t="s">
        <v>7</v>
      </c>
      <c r="C7" s="1" t="s">
        <v>8</v>
      </c>
      <c r="D7" s="1" t="s">
        <v>9</v>
      </c>
      <c r="E7" s="1" t="s">
        <v>10</v>
      </c>
      <c r="F7" s="1">
        <v>1</v>
      </c>
      <c r="G7" s="1">
        <v>60000</v>
      </c>
      <c r="H7" s="4">
        <f t="shared" si="0"/>
        <v>60000</v>
      </c>
    </row>
    <row r="8" spans="1:11" x14ac:dyDescent="0.3">
      <c r="A8" s="3">
        <v>46029</v>
      </c>
      <c r="B8" s="1" t="s">
        <v>14</v>
      </c>
      <c r="C8" s="1" t="s">
        <v>15</v>
      </c>
      <c r="D8" s="1" t="s">
        <v>12</v>
      </c>
      <c r="E8" s="1" t="s">
        <v>13</v>
      </c>
      <c r="F8" s="1">
        <v>7</v>
      </c>
      <c r="G8" s="1">
        <v>3000</v>
      </c>
      <c r="H8" s="4">
        <f t="shared" si="0"/>
        <v>21000</v>
      </c>
    </row>
    <row r="9" spans="1:11" x14ac:dyDescent="0.3">
      <c r="A9" s="3">
        <v>46030</v>
      </c>
      <c r="B9" s="1" t="s">
        <v>11</v>
      </c>
      <c r="C9" s="1" t="s">
        <v>8</v>
      </c>
      <c r="D9" s="1" t="s">
        <v>9</v>
      </c>
      <c r="E9" s="1" t="s">
        <v>16</v>
      </c>
      <c r="F9" s="1">
        <v>2</v>
      </c>
      <c r="G9" s="1">
        <v>20000</v>
      </c>
      <c r="H9" s="4">
        <f t="shared" si="0"/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Pivot_Analysis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Shayantha Das</cp:lastModifiedBy>
  <dcterms:created xsi:type="dcterms:W3CDTF">2026-02-05T14:52:14Z</dcterms:created>
  <dcterms:modified xsi:type="dcterms:W3CDTF">2026-02-05T16:08:20Z</dcterms:modified>
</cp:coreProperties>
</file>